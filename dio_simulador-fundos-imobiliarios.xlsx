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1966B26A0CFE2E/"/>
    </mc:Choice>
  </mc:AlternateContent>
  <xr:revisionPtr revIDLastSave="7" documentId="8_{3B46DE19-24AF-7643-A3AD-FD04CC3FC585}" xr6:coauthVersionLast="47" xr6:coauthVersionMax="47" xr10:uidLastSave="{408C62C2-6C2D-3B43-B0AC-05DC76C8F6FD}"/>
  <bookViews>
    <workbookView xWindow="9200" yWindow="660" windowWidth="20200" windowHeight="16820" xr2:uid="{72E12605-07B0-EC43-8022-2B853D998238}"/>
  </bookViews>
  <sheets>
    <sheet name="% INVEST" sheetId="2" r:id="rId1"/>
    <sheet name="FII - PERFIS" sheetId="3" r:id="rId2"/>
  </sheets>
  <definedNames>
    <definedName name="_xlchart.v1.0" hidden="1">'% INVEST'!$B$41:$B$46</definedName>
    <definedName name="_xlchart.v1.1" hidden="1">'% INVEST'!$C$40</definedName>
    <definedName name="_xlchart.v1.10" hidden="1">'% INVEST'!$C$40</definedName>
    <definedName name="_xlchart.v1.11" hidden="1">'% INVEST'!$C$41:$C$46</definedName>
    <definedName name="_xlchart.v1.2" hidden="1">'% INVEST'!$C$41:$C$46</definedName>
    <definedName name="_xlchart.v1.3" hidden="1">'% INVEST'!$B$41:$B$46</definedName>
    <definedName name="_xlchart.v1.4" hidden="1">'% INVEST'!$C$40</definedName>
    <definedName name="_xlchart.v1.5" hidden="1">'% INVEST'!$C$41:$C$46</definedName>
    <definedName name="_xlchart.v1.6" hidden="1">'% INVEST'!$B$41:$B$46</definedName>
    <definedName name="_xlchart.v1.7" hidden="1">'% INVEST'!$C$40</definedName>
    <definedName name="_xlchart.v1.8" hidden="1">'% INVEST'!$C$41:$C$46</definedName>
    <definedName name="_xlchart.v1.9" hidden="1">'% INVEST'!$B$41:$B$46</definedName>
    <definedName name="_xlchart.v2.12" hidden="1">'% INVEST'!$B$41:$B$46</definedName>
    <definedName name="_xlchart.v2.13" hidden="1">'% INVEST'!$C$40</definedName>
    <definedName name="_xlchart.v2.14" hidden="1">'% INVEST'!$C$41:$C$46</definedName>
    <definedName name="aporte">'% INVEST'!$C$21</definedName>
    <definedName name="quantidade_de_anos">'% INVEST'!$C$22</definedName>
    <definedName name="rendimento_carteira">'% INVEST'!$G$23</definedName>
    <definedName name="rendimento_mensal">'% INVEST'!$C$23</definedName>
    <definedName name="salario_mensal">'% INVEST'!$G$21</definedName>
    <definedName name="sugestao_de_investimento">'% INVEST'!$G$25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2" l="1"/>
  <c r="C43" i="2"/>
  <c r="C44" i="2"/>
  <c r="D44" i="2" s="1"/>
  <c r="C45" i="2"/>
  <c r="D45" i="2" s="1"/>
  <c r="C46" i="2"/>
  <c r="D46" i="2" s="1"/>
  <c r="C41" i="2"/>
  <c r="D41" i="2" s="1"/>
  <c r="D47" i="2" s="1"/>
  <c r="I3" i="3"/>
  <c r="B17" i="3"/>
  <c r="B18" i="3"/>
  <c r="B19" i="3"/>
  <c r="B20" i="3"/>
  <c r="B21" i="3"/>
  <c r="B16" i="3"/>
  <c r="B12" i="3"/>
  <c r="B13" i="3"/>
  <c r="B14" i="3"/>
  <c r="B15" i="3"/>
  <c r="B10" i="3"/>
  <c r="B5" i="3"/>
  <c r="B6" i="3"/>
  <c r="B7" i="3"/>
  <c r="B8" i="3"/>
  <c r="B9" i="3"/>
  <c r="B4" i="3"/>
  <c r="D42" i="2"/>
  <c r="D43" i="2"/>
  <c r="C24" i="2"/>
  <c r="C25" i="2" s="1"/>
  <c r="G25" i="2"/>
  <c r="C33" i="2"/>
  <c r="D33" i="2" s="1"/>
  <c r="C32" i="2"/>
  <c r="D32" i="2" s="1"/>
  <c r="C31" i="2"/>
  <c r="D31" i="2" s="1"/>
</calcChain>
</file>

<file path=xl/sharedStrings.xml><?xml version="1.0" encoding="utf-8"?>
<sst xmlns="http://schemas.openxmlformats.org/spreadsheetml/2006/main" count="70" uniqueCount="34">
  <si>
    <t xml:space="preserve">QUANTO INVESTIR POR MÊS </t>
  </si>
  <si>
    <t>POR QUANTOS ANOS?</t>
  </si>
  <si>
    <t>TAXA DE RENDIMENTO MENSAL?</t>
  </si>
  <si>
    <t>QUANTO DE PATRIMONIO ACUMULADO TEREI?</t>
  </si>
  <si>
    <t>QUANTO DE DIVIDENDO POR MÊS?</t>
  </si>
  <si>
    <t>INVESTIMENTO MENSAL</t>
  </si>
  <si>
    <t>QUANTO EM 1 ANO?</t>
  </si>
  <si>
    <t>QUANTO EM 10 ANOS?</t>
  </si>
  <si>
    <t>QUANTO EM 20 ANOS?</t>
  </si>
  <si>
    <r>
      <rPr>
        <b/>
        <sz val="12"/>
        <color theme="0"/>
        <rFont val="Aptos Narrow"/>
        <scheme val="minor"/>
      </rPr>
      <t>CENÁRIOS</t>
    </r>
    <r>
      <rPr>
        <sz val="12"/>
        <color theme="0"/>
        <rFont val="Aptos Narrow"/>
        <family val="2"/>
        <scheme val="minor"/>
      </rPr>
      <t xml:space="preserve"> </t>
    </r>
  </si>
  <si>
    <t>TOTAL</t>
  </si>
  <si>
    <t>MENSAL</t>
  </si>
  <si>
    <t>CONFIGURAÇOES</t>
  </si>
  <si>
    <t>RENDIMENTO CARTEIRA</t>
  </si>
  <si>
    <t xml:space="preserve">SUGESTAO DE INVESTIMENTO </t>
  </si>
  <si>
    <t>PERFIL</t>
  </si>
  <si>
    <t>MODERADO</t>
  </si>
  <si>
    <t xml:space="preserve">VALOR INVESTIDO POR MÊS </t>
  </si>
  <si>
    <t>TIPO DE FUNDO IMOBILIÁRIO (FII)</t>
  </si>
  <si>
    <t>% SUGERIDO</t>
  </si>
  <si>
    <t>VALORES</t>
  </si>
  <si>
    <t>PAPEL</t>
  </si>
  <si>
    <t>TIJOLO</t>
  </si>
  <si>
    <t>HÍBRIDOS</t>
  </si>
  <si>
    <t>FOFs</t>
  </si>
  <si>
    <t>DESENVOLVIMENTO</t>
  </si>
  <si>
    <t>HOTELARIA</t>
  </si>
  <si>
    <t>TIPOS DE FII</t>
  </si>
  <si>
    <t>CONSERVADOR</t>
  </si>
  <si>
    <t>AGRESSIVO</t>
  </si>
  <si>
    <t>% PERCENTUAL</t>
  </si>
  <si>
    <t>CHAVE ÚNICA</t>
  </si>
  <si>
    <t>MODERADO-TIJOLO</t>
  </si>
  <si>
    <t>SEU SALÁRIO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</si>
</sst>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 (Corpo)"/>
    </font>
    <font>
      <b/>
      <sz val="12"/>
      <color theme="2" tint="-0.74999237037263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5F5F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0.499984740745262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2" borderId="0" xfId="0" applyFill="1"/>
    <xf numFmtId="0" fontId="0" fillId="3" borderId="0" xfId="0" applyFill="1"/>
    <xf numFmtId="0" fontId="4" fillId="3" borderId="0" xfId="0" applyFont="1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/>
    </xf>
    <xf numFmtId="8" fontId="0" fillId="4" borderId="0" xfId="0" applyNumberFormat="1" applyFill="1"/>
    <xf numFmtId="8" fontId="3" fillId="4" borderId="0" xfId="0" applyNumberFormat="1" applyFont="1" applyFill="1" applyAlignment="1">
      <alignment horizontal="center"/>
    </xf>
    <xf numFmtId="8" fontId="3" fillId="5" borderId="0" xfId="0" applyNumberFormat="1" applyFont="1" applyFill="1" applyAlignment="1">
      <alignment horizontal="center"/>
    </xf>
    <xf numFmtId="0" fontId="7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8" fontId="0" fillId="5" borderId="0" xfId="0" applyNumberFormat="1" applyFill="1"/>
    <xf numFmtId="0" fontId="0" fillId="5" borderId="1" xfId="0" applyFill="1" applyBorder="1"/>
    <xf numFmtId="0" fontId="0" fillId="5" borderId="2" xfId="0" applyFill="1" applyBorder="1"/>
    <xf numFmtId="0" fontId="0" fillId="4" borderId="2" xfId="0" applyFill="1" applyBorder="1"/>
    <xf numFmtId="0" fontId="0" fillId="4" borderId="3" xfId="0" applyFill="1" applyBorder="1"/>
    <xf numFmtId="44" fontId="0" fillId="5" borderId="2" xfId="1" applyFont="1" applyFill="1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10" fontId="0" fillId="5" borderId="2" xfId="0" applyNumberFormat="1" applyFill="1" applyBorder="1" applyAlignment="1">
      <alignment horizontal="center"/>
    </xf>
    <xf numFmtId="8" fontId="3" fillId="4" borderId="2" xfId="0" applyNumberFormat="1" applyFont="1" applyFill="1" applyBorder="1" applyAlignment="1">
      <alignment horizontal="center"/>
    </xf>
    <xf numFmtId="8" fontId="5" fillId="4" borderId="3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8" fontId="0" fillId="5" borderId="0" xfId="0" applyNumberFormat="1" applyFill="1" applyAlignment="1">
      <alignment horizontal="center"/>
    </xf>
    <xf numFmtId="9" fontId="0" fillId="5" borderId="0" xfId="0" applyNumberFormat="1" applyFill="1" applyAlignment="1">
      <alignment horizontal="center"/>
    </xf>
    <xf numFmtId="44" fontId="0" fillId="2" borderId="0" xfId="1" applyFont="1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44" fontId="0" fillId="5" borderId="0" xfId="0" applyNumberFormat="1" applyFill="1"/>
    <xf numFmtId="0" fontId="8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9" fontId="2" fillId="3" borderId="0" xfId="0" applyNumberFormat="1" applyFont="1" applyFill="1" applyAlignment="1">
      <alignment horizontal="center"/>
    </xf>
    <xf numFmtId="9" fontId="0" fillId="6" borderId="0" xfId="0" applyNumberFormat="1" applyFill="1" applyAlignment="1">
      <alignment horizontal="center"/>
    </xf>
    <xf numFmtId="9" fontId="0" fillId="5" borderId="0" xfId="0" applyNumberFormat="1" applyFill="1" applyAlignment="1">
      <alignment horizontal="center"/>
    </xf>
    <xf numFmtId="9" fontId="0" fillId="5" borderId="0" xfId="2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44" fontId="2" fillId="3" borderId="0" xfId="0" applyNumberFormat="1" applyFont="1" applyFill="1" applyAlignment="1">
      <alignment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5F5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plotSurface>
          <cx:spPr>
            <a:noFill/>
            <a:ln>
              <a:noFill/>
            </a:ln>
          </cx:spPr>
        </cx:plotSurface>
        <cx:series layoutId="clusteredColumn" uniqueId="{8020FD97-9747-FA4D-B64B-446A516CE3D0}">
          <cx:tx>
            <cx:txData>
              <cx:f>_xlchart.v1.4</cx:f>
              <cx:v>% SUGERIDO</cx:v>
            </cx:txData>
          </cx:tx>
          <cx:dataId val="0"/>
          <cx:layoutPr>
            <cx:aggregation/>
          </cx:layoutPr>
          <cx:axisId val="1"/>
        </cx:series>
        <cx:series layoutId="paretoLine" ownerIdx="0" uniqueId="{B04BAC1E-62C0-EB46-9648-292ADB943BAB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393700</xdr:colOff>
      <xdr:row>0</xdr:row>
      <xdr:rowOff>190500</xdr:rowOff>
    </xdr:from>
    <xdr:to>
      <xdr:col>2</xdr:col>
      <xdr:colOff>2425700</xdr:colOff>
      <xdr:row>17</xdr:row>
      <xdr:rowOff>22225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A337E9-9C26-972C-64DA-1DBCDBB7B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190500"/>
          <a:ext cx="5842000" cy="3286125"/>
        </a:xfrm>
        <a:prstGeom prst="rect">
          <a:avLst/>
        </a:prstGeom>
      </xdr:spPr>
    </xdr:pic>
    <xdr:clientData/>
  </xdr:twoCellAnchor>
  <xdr:twoCellAnchor>
    <xdr:from>
      <xdr:col>5</xdr:col>
      <xdr:colOff>50800</xdr:colOff>
      <xdr:row>29</xdr:row>
      <xdr:rowOff>0</xdr:rowOff>
    </xdr:from>
    <xdr:to>
      <xdr:col>8</xdr:col>
      <xdr:colOff>0</xdr:colOff>
      <xdr:row>46</xdr:row>
      <xdr:rowOff>135468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129F3C19-FEE0-B655-8167-241A3C1952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14267" y="6096000"/>
              <a:ext cx="5096933" cy="38438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D158F-B423-B247-A192-0C4D94F6EEEE}">
  <dimension ref="B19:H47"/>
  <sheetViews>
    <sheetView showGridLines="0" tabSelected="1" topLeftCell="A13" zoomScale="75" workbookViewId="0">
      <selection activeCell="M47" sqref="M47"/>
    </sheetView>
  </sheetViews>
  <sheetFormatPr baseColWidth="10" defaultRowHeight="16" x14ac:dyDescent="0.2"/>
  <cols>
    <col min="1" max="1" width="10.83203125" style="1" customWidth="1"/>
    <col min="2" max="2" width="39.1640625" style="1" bestFit="1" customWidth="1"/>
    <col min="3" max="3" width="32.33203125" style="1" customWidth="1"/>
    <col min="4" max="4" width="15" style="1" customWidth="1"/>
    <col min="5" max="5" width="10.83203125" style="1" customWidth="1"/>
    <col min="6" max="6" width="37.5" style="1" customWidth="1"/>
    <col min="7" max="7" width="19" style="1" customWidth="1"/>
    <col min="8" max="8" width="10.83203125" style="1" customWidth="1"/>
    <col min="9" max="16384" width="10.83203125" style="1"/>
  </cols>
  <sheetData>
    <row r="19" spans="2:8" ht="26" customHeight="1" x14ac:dyDescent="0.2">
      <c r="B19" s="3" t="s">
        <v>5</v>
      </c>
      <c r="C19" s="3"/>
      <c r="D19" s="2"/>
      <c r="F19" s="44" t="s">
        <v>12</v>
      </c>
      <c r="G19" s="44"/>
      <c r="H19" s="44"/>
    </row>
    <row r="20" spans="2:8" x14ac:dyDescent="0.2">
      <c r="B20" s="18"/>
      <c r="C20" s="18"/>
      <c r="D20" s="18"/>
      <c r="F20" s="5"/>
      <c r="G20" s="5"/>
      <c r="H20" s="5"/>
    </row>
    <row r="21" spans="2:8" x14ac:dyDescent="0.2">
      <c r="B21" s="19" t="s">
        <v>0</v>
      </c>
      <c r="C21" s="22">
        <v>540</v>
      </c>
      <c r="D21" s="22"/>
      <c r="F21" s="6" t="s">
        <v>33</v>
      </c>
      <c r="G21" s="28">
        <v>1800</v>
      </c>
      <c r="H21" s="7"/>
    </row>
    <row r="22" spans="2:8" ht="21" customHeight="1" x14ac:dyDescent="0.2">
      <c r="B22" s="19" t="s">
        <v>1</v>
      </c>
      <c r="C22" s="23">
        <v>5</v>
      </c>
      <c r="D22" s="23"/>
      <c r="F22" s="6"/>
      <c r="G22" s="5"/>
      <c r="H22" s="5"/>
    </row>
    <row r="23" spans="2:8" x14ac:dyDescent="0.2">
      <c r="B23" s="19" t="s">
        <v>2</v>
      </c>
      <c r="C23" s="24">
        <v>1.0789999999999999E-2</v>
      </c>
      <c r="D23" s="24"/>
      <c r="F23" s="6" t="s">
        <v>13</v>
      </c>
      <c r="G23" s="29">
        <v>8.8999999999999999E-3</v>
      </c>
      <c r="H23" s="7"/>
    </row>
    <row r="24" spans="2:8" x14ac:dyDescent="0.2">
      <c r="B24" s="20" t="s">
        <v>3</v>
      </c>
      <c r="C24" s="25">
        <f>FV(rendimento_mensal,quantidade_de_anos*12,C21*-1)</f>
        <v>45239.533559183328</v>
      </c>
      <c r="D24" s="25"/>
      <c r="F24" s="6"/>
      <c r="G24" s="5"/>
      <c r="H24" s="5"/>
    </row>
    <row r="25" spans="2:8" x14ac:dyDescent="0.2">
      <c r="B25" s="21" t="s">
        <v>4</v>
      </c>
      <c r="C25" s="26">
        <f>C24*rendimento_mensal</f>
        <v>488.1345671035881</v>
      </c>
      <c r="D25" s="26"/>
      <c r="F25" s="6" t="s">
        <v>14</v>
      </c>
      <c r="G25" s="28">
        <f>G21*30%</f>
        <v>540</v>
      </c>
      <c r="H25" s="7"/>
    </row>
    <row r="30" spans="2:8" ht="26" customHeight="1" x14ac:dyDescent="0.2">
      <c r="B30" s="11" t="s">
        <v>9</v>
      </c>
      <c r="C30" s="16" t="s">
        <v>10</v>
      </c>
      <c r="D30" s="15" t="s">
        <v>11</v>
      </c>
    </row>
    <row r="31" spans="2:8" x14ac:dyDescent="0.2">
      <c r="B31" s="4" t="s">
        <v>6</v>
      </c>
      <c r="C31" s="9">
        <f>FV($C$23,1*12,$C$21*-1)</f>
        <v>6878.7284403005424</v>
      </c>
      <c r="D31" s="8">
        <f>C31*rendimento_carteira</f>
        <v>61.220683118674827</v>
      </c>
    </row>
    <row r="32" spans="2:8" x14ac:dyDescent="0.2">
      <c r="B32" s="5" t="s">
        <v>7</v>
      </c>
      <c r="C32" s="10">
        <f>FV($C$23,10*12,$C$21*-1)</f>
        <v>131373.47476629299</v>
      </c>
      <c r="D32" s="17">
        <f>C32*rendimento_carteira</f>
        <v>1169.2239254200076</v>
      </c>
    </row>
    <row r="33" spans="2:4" x14ac:dyDescent="0.2">
      <c r="B33" s="4" t="s">
        <v>8</v>
      </c>
      <c r="C33" s="9">
        <f>FV($C$23,20*12,$C$21*-1)</f>
        <v>607607.13605242351</v>
      </c>
      <c r="D33" s="8">
        <f>C33*rendimento_carteira</f>
        <v>5407.7035108665696</v>
      </c>
    </row>
    <row r="36" spans="2:4" x14ac:dyDescent="0.2">
      <c r="B36" s="15" t="s">
        <v>15</v>
      </c>
      <c r="C36" s="27" t="s">
        <v>16</v>
      </c>
      <c r="D36" s="27"/>
    </row>
    <row r="37" spans="2:4" x14ac:dyDescent="0.2">
      <c r="B37" s="1" t="s">
        <v>17</v>
      </c>
      <c r="C37" s="30">
        <v>540</v>
      </c>
      <c r="D37" s="30"/>
    </row>
    <row r="40" spans="2:4" s="43" customFormat="1" ht="25" customHeight="1" x14ac:dyDescent="0.2">
      <c r="B40" s="41" t="s">
        <v>18</v>
      </c>
      <c r="C40" s="42" t="s">
        <v>19</v>
      </c>
      <c r="D40" s="42" t="s">
        <v>20</v>
      </c>
    </row>
    <row r="41" spans="2:4" x14ac:dyDescent="0.2">
      <c r="B41" s="6" t="s">
        <v>21</v>
      </c>
      <c r="C41" s="39">
        <f>VLOOKUP($C$36&amp;"-"&amp;B41,'FII - PERFIS'!$B:$E,4,)</f>
        <v>0.32</v>
      </c>
      <c r="D41" s="33">
        <f>C41*$C$37</f>
        <v>172.8</v>
      </c>
    </row>
    <row r="42" spans="2:4" x14ac:dyDescent="0.2">
      <c r="B42" s="6" t="s">
        <v>22</v>
      </c>
      <c r="C42" s="39">
        <f>VLOOKUP($C$36&amp;"-"&amp;B42,'FII - PERFIS'!$B:$E,4,)</f>
        <v>0.35</v>
      </c>
      <c r="D42" s="33">
        <f t="shared" ref="D42:D46" si="0">C42*$C$37</f>
        <v>189</v>
      </c>
    </row>
    <row r="43" spans="2:4" x14ac:dyDescent="0.2">
      <c r="B43" s="6" t="s">
        <v>23</v>
      </c>
      <c r="C43" s="39">
        <f>VLOOKUP($C$36&amp;"-"&amp;B43,'FII - PERFIS'!$B:$E,4,)</f>
        <v>0.08</v>
      </c>
      <c r="D43" s="33">
        <f t="shared" si="0"/>
        <v>43.2</v>
      </c>
    </row>
    <row r="44" spans="2:4" x14ac:dyDescent="0.2">
      <c r="B44" s="6" t="s">
        <v>24</v>
      </c>
      <c r="C44" s="39">
        <f>VLOOKUP($C$36&amp;"-"&amp;B44,'FII - PERFIS'!$B:$E,4,)</f>
        <v>0.05</v>
      </c>
      <c r="D44" s="33">
        <f t="shared" si="0"/>
        <v>27</v>
      </c>
    </row>
    <row r="45" spans="2:4" x14ac:dyDescent="0.2">
      <c r="B45" s="6" t="s">
        <v>25</v>
      </c>
      <c r="C45" s="39">
        <f>VLOOKUP($C$36&amp;"-"&amp;B45,'FII - PERFIS'!$B:$E,4,)</f>
        <v>0.1</v>
      </c>
      <c r="D45" s="33">
        <f t="shared" si="0"/>
        <v>54</v>
      </c>
    </row>
    <row r="46" spans="2:4" x14ac:dyDescent="0.2">
      <c r="B46" s="6" t="s">
        <v>26</v>
      </c>
      <c r="C46" s="39">
        <f>VLOOKUP($C$36&amp;"-"&amp;B46,'FII - PERFIS'!$B:$E,4,)</f>
        <v>0.1</v>
      </c>
      <c r="D46" s="33">
        <f t="shared" si="0"/>
        <v>54</v>
      </c>
    </row>
    <row r="47" spans="2:4" s="43" customFormat="1" ht="24" customHeight="1" x14ac:dyDescent="0.2">
      <c r="B47" s="12"/>
      <c r="C47" s="12"/>
      <c r="D47" s="45">
        <f>SUM(D41:D46)</f>
        <v>540</v>
      </c>
    </row>
  </sheetData>
  <mergeCells count="12">
    <mergeCell ref="C37:D37"/>
    <mergeCell ref="C25:D25"/>
    <mergeCell ref="F19:H19"/>
    <mergeCell ref="G21:H21"/>
    <mergeCell ref="G23:H23"/>
    <mergeCell ref="G25:H25"/>
    <mergeCell ref="C36:D36"/>
    <mergeCell ref="B19:C19"/>
    <mergeCell ref="C21:D21"/>
    <mergeCell ref="C22:D22"/>
    <mergeCell ref="C23:D23"/>
    <mergeCell ref="C24:D24"/>
  </mergeCells>
  <dataValidations disablePrompts="1" count="1">
    <dataValidation type="list" allowBlank="1" showInputMessage="1" showErrorMessage="1" sqref="C36:D36" xr:uid="{B57041C8-775F-6D40-B000-E81C3FE93A32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67D5D-DACB-1C4E-A1DE-E1525A389513}">
  <dimension ref="B3:I21"/>
  <sheetViews>
    <sheetView showGridLines="0" workbookViewId="0">
      <selection activeCell="G23" sqref="G23"/>
    </sheetView>
  </sheetViews>
  <sheetFormatPr baseColWidth="10" defaultRowHeight="16" x14ac:dyDescent="0.2"/>
  <cols>
    <col min="2" max="2" width="31.83203125" bestFit="1" customWidth="1"/>
    <col min="3" max="4" width="17.6640625" bestFit="1" customWidth="1"/>
    <col min="5" max="5" width="13.6640625" bestFit="1" customWidth="1"/>
    <col min="8" max="8" width="17.5" bestFit="1" customWidth="1"/>
  </cols>
  <sheetData>
    <row r="3" spans="2:9" x14ac:dyDescent="0.2">
      <c r="B3" s="14" t="s">
        <v>31</v>
      </c>
      <c r="C3" s="14" t="s">
        <v>15</v>
      </c>
      <c r="D3" s="14" t="s">
        <v>27</v>
      </c>
      <c r="E3" s="13" t="s">
        <v>30</v>
      </c>
      <c r="H3" s="31" t="s">
        <v>32</v>
      </c>
      <c r="I3" s="40">
        <f>VLOOKUP(H3,$B:$E,4,FALSE)</f>
        <v>0.35</v>
      </c>
    </row>
    <row r="4" spans="2:9" x14ac:dyDescent="0.2">
      <c r="B4" s="5" t="str">
        <f>$C$4&amp;"-"&amp;D4</f>
        <v>CONSERVADOR-PAPEL</v>
      </c>
      <c r="C4" s="6" t="s">
        <v>28</v>
      </c>
      <c r="D4" s="34" t="s">
        <v>21</v>
      </c>
      <c r="E4" s="39">
        <v>0.3</v>
      </c>
    </row>
    <row r="5" spans="2:9" x14ac:dyDescent="0.2">
      <c r="B5" s="5" t="str">
        <f t="shared" ref="B5:B21" si="0">$C$4&amp;"-"&amp;D5</f>
        <v>CONSERVADOR-TIJOLO</v>
      </c>
      <c r="C5" s="6" t="s">
        <v>28</v>
      </c>
      <c r="D5" s="34" t="s">
        <v>22</v>
      </c>
      <c r="E5" s="39">
        <v>0.5</v>
      </c>
    </row>
    <row r="6" spans="2:9" x14ac:dyDescent="0.2">
      <c r="B6" s="5" t="str">
        <f t="shared" si="0"/>
        <v>CONSERVADOR-HÍBRIDOS</v>
      </c>
      <c r="C6" s="6" t="s">
        <v>28</v>
      </c>
      <c r="D6" s="34" t="s">
        <v>23</v>
      </c>
      <c r="E6" s="39">
        <v>0.1</v>
      </c>
    </row>
    <row r="7" spans="2:9" x14ac:dyDescent="0.2">
      <c r="B7" s="5" t="str">
        <f t="shared" si="0"/>
        <v>CONSERVADOR-FOFs</v>
      </c>
      <c r="C7" s="6" t="s">
        <v>28</v>
      </c>
      <c r="D7" s="34" t="s">
        <v>24</v>
      </c>
      <c r="E7" s="39">
        <v>0.1</v>
      </c>
    </row>
    <row r="8" spans="2:9" x14ac:dyDescent="0.2">
      <c r="B8" s="5" t="str">
        <f t="shared" si="0"/>
        <v>CONSERVADOR-DESENVOLVIMENTO</v>
      </c>
      <c r="C8" s="6" t="s">
        <v>28</v>
      </c>
      <c r="D8" s="34" t="s">
        <v>25</v>
      </c>
      <c r="E8" s="39">
        <v>0</v>
      </c>
    </row>
    <row r="9" spans="2:9" x14ac:dyDescent="0.2">
      <c r="B9" s="5" t="str">
        <f t="shared" si="0"/>
        <v>CONSERVADOR-HOTELARIA</v>
      </c>
      <c r="C9" s="6" t="s">
        <v>28</v>
      </c>
      <c r="D9" s="34" t="s">
        <v>26</v>
      </c>
      <c r="E9" s="39">
        <v>0</v>
      </c>
    </row>
    <row r="10" spans="2:9" x14ac:dyDescent="0.2">
      <c r="B10" s="31" t="str">
        <f>$C$10&amp;"-"&amp;D10</f>
        <v>MODERADO-PAPEL</v>
      </c>
      <c r="C10" s="32" t="s">
        <v>16</v>
      </c>
      <c r="D10" s="35" t="s">
        <v>21</v>
      </c>
      <c r="E10" s="38">
        <v>0.32</v>
      </c>
    </row>
    <row r="11" spans="2:9" x14ac:dyDescent="0.2">
      <c r="B11" s="31" t="s">
        <v>32</v>
      </c>
      <c r="C11" s="32" t="s">
        <v>16</v>
      </c>
      <c r="D11" s="35" t="s">
        <v>22</v>
      </c>
      <c r="E11" s="38">
        <v>0.35</v>
      </c>
    </row>
    <row r="12" spans="2:9" x14ac:dyDescent="0.2">
      <c r="B12" s="31" t="str">
        <f t="shared" ref="B11:B15" si="1">$C$10&amp;"-"&amp;D12</f>
        <v>MODERADO-HÍBRIDOS</v>
      </c>
      <c r="C12" s="32" t="s">
        <v>16</v>
      </c>
      <c r="D12" s="35" t="s">
        <v>23</v>
      </c>
      <c r="E12" s="38">
        <v>0.08</v>
      </c>
    </row>
    <row r="13" spans="2:9" x14ac:dyDescent="0.2">
      <c r="B13" s="31" t="str">
        <f t="shared" si="1"/>
        <v>MODERADO-FOFs</v>
      </c>
      <c r="C13" s="32" t="s">
        <v>16</v>
      </c>
      <c r="D13" s="35" t="s">
        <v>24</v>
      </c>
      <c r="E13" s="38">
        <v>0.05</v>
      </c>
    </row>
    <row r="14" spans="2:9" x14ac:dyDescent="0.2">
      <c r="B14" s="31" t="str">
        <f t="shared" si="1"/>
        <v>MODERADO-DESENVOLVIMENTO</v>
      </c>
      <c r="C14" s="32" t="s">
        <v>16</v>
      </c>
      <c r="D14" s="35" t="s">
        <v>25</v>
      </c>
      <c r="E14" s="38">
        <v>0.1</v>
      </c>
    </row>
    <row r="15" spans="2:9" x14ac:dyDescent="0.2">
      <c r="B15" s="31" t="str">
        <f t="shared" si="1"/>
        <v>MODERADO-HOTELARIA</v>
      </c>
      <c r="C15" s="32" t="s">
        <v>16</v>
      </c>
      <c r="D15" s="35" t="s">
        <v>26</v>
      </c>
      <c r="E15" s="38">
        <v>0.1</v>
      </c>
    </row>
    <row r="16" spans="2:9" x14ac:dyDescent="0.2">
      <c r="B16" s="13" t="str">
        <f>$C$16&amp;"-"&amp;D16</f>
        <v>AGRESSIVO-PAPEL</v>
      </c>
      <c r="C16" s="14" t="s">
        <v>29</v>
      </c>
      <c r="D16" s="36" t="s">
        <v>21</v>
      </c>
      <c r="E16" s="37">
        <v>0.5</v>
      </c>
    </row>
    <row r="17" spans="2:5" x14ac:dyDescent="0.2">
      <c r="B17" s="13" t="str">
        <f t="shared" ref="B17:B21" si="2">$C$16&amp;"-"&amp;D17</f>
        <v>AGRESSIVO-TIJOLO</v>
      </c>
      <c r="C17" s="14" t="s">
        <v>29</v>
      </c>
      <c r="D17" s="36" t="s">
        <v>22</v>
      </c>
      <c r="E17" s="37">
        <v>0.1</v>
      </c>
    </row>
    <row r="18" spans="2:5" x14ac:dyDescent="0.2">
      <c r="B18" s="13" t="str">
        <f t="shared" si="2"/>
        <v>AGRESSIVO-HÍBRIDOS</v>
      </c>
      <c r="C18" s="14" t="s">
        <v>29</v>
      </c>
      <c r="D18" s="36" t="s">
        <v>23</v>
      </c>
      <c r="E18" s="37">
        <v>0.05</v>
      </c>
    </row>
    <row r="19" spans="2:5" x14ac:dyDescent="0.2">
      <c r="B19" s="13" t="str">
        <f t="shared" si="2"/>
        <v>AGRESSIVO-FOFs</v>
      </c>
      <c r="C19" s="14" t="s">
        <v>29</v>
      </c>
      <c r="D19" s="36" t="s">
        <v>24</v>
      </c>
      <c r="E19" s="37">
        <v>0.55000000000000004</v>
      </c>
    </row>
    <row r="20" spans="2:5" x14ac:dyDescent="0.2">
      <c r="B20" s="13" t="str">
        <f t="shared" si="2"/>
        <v>AGRESSIVO-DESENVOLVIMENTO</v>
      </c>
      <c r="C20" s="14" t="s">
        <v>29</v>
      </c>
      <c r="D20" s="36" t="s">
        <v>25</v>
      </c>
      <c r="E20" s="37">
        <v>0.2</v>
      </c>
    </row>
    <row r="21" spans="2:5" x14ac:dyDescent="0.2">
      <c r="B21" s="13" t="str">
        <f t="shared" si="2"/>
        <v>AGRESSIVO-HOTELARIA</v>
      </c>
      <c r="C21" s="14" t="s">
        <v>29</v>
      </c>
      <c r="D21" s="36" t="s">
        <v>26</v>
      </c>
      <c r="E21" s="3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% INVEST</vt:lpstr>
      <vt:lpstr>FII - PERFIS</vt:lpstr>
      <vt:lpstr>aporte</vt:lpstr>
      <vt:lpstr>quantidade_de_anos</vt:lpstr>
      <vt:lpstr>rendimento_carteira</vt:lpstr>
      <vt:lpstr>rendimento_mensal</vt:lpstr>
      <vt:lpstr>salario_mensal</vt:lpstr>
      <vt:lpstr>sugestao_de_investimento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nutriclaudinhasp@gmail.com</dc:creator>
  <cp:lastModifiedBy>nutriclaudinhasp@gmail.com</cp:lastModifiedBy>
  <dcterms:created xsi:type="dcterms:W3CDTF">2026-09-24T17:21:21Z</dcterms:created>
  <dcterms:modified xsi:type="dcterms:W3CDTF">2026-10-01T20:21:56Z</dcterms:modified>
</cp:coreProperties>
</file>